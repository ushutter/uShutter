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00"/>
  </bookViews>
  <sheets>
    <sheet name="Sheet1" sheetId="1" r:id="rId1"/>
  </sheets>
  <definedNames>
    <definedName name="ExternalData_1" localSheetId="0">Sheet1!$D$10:$J$37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v1.2" type="6" background="1" refreshedVersion="2" saveData="1">
    <textPr sourceFile="D:\Cameras\PCB\v1.2\v1.2.csv" comma="1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<sst xmlns="http://schemas.openxmlformats.org/spreadsheetml/2006/main" count="55" uniqueCount="48">
  <si>
    <t>Id</t>
  </si>
  <si>
    <t>类型</t>
  </si>
  <si>
    <t>型号</t>
  </si>
  <si>
    <t>封装</t>
  </si>
  <si>
    <t>数量</t>
  </si>
  <si>
    <t>U1</t>
  </si>
  <si>
    <t>74HC14 SSOP</t>
  </si>
  <si>
    <t>SSOP-14_5.3x6.2mm_P0.65mm</t>
  </si>
  <si>
    <t>U2</t>
  </si>
  <si>
    <t>AT24CS16-XHM TSSOP</t>
  </si>
  <si>
    <t>TSSOP-8_4.4x3mm_P0.65mm</t>
  </si>
  <si>
    <t>D2,D3,D4</t>
  </si>
  <si>
    <t>VISHAY_BPW34S</t>
  </si>
  <si>
    <t>SMD</t>
  </si>
  <si>
    <t>SW3,SW1,SW2</t>
  </si>
  <si>
    <t>开关</t>
  </si>
  <si>
    <t>SW_PUSH_6mm</t>
  </si>
  <si>
    <t>J1</t>
  </si>
  <si>
    <t>1x4孔排针插座2.54mm</t>
  </si>
  <si>
    <t>SIP4</t>
  </si>
  <si>
    <t>J3</t>
  </si>
  <si>
    <t>1x6孔90度排针2.54mm</t>
  </si>
  <si>
    <t>SIP6</t>
  </si>
  <si>
    <t>J2,J5</t>
  </si>
  <si>
    <t>1x6孔排针插座2.54mm</t>
  </si>
  <si>
    <t>J4</t>
  </si>
  <si>
    <t>1x10孔排针插座2.54mm</t>
  </si>
  <si>
    <t>SIP10</t>
  </si>
  <si>
    <t>R3,R1</t>
  </si>
  <si>
    <t>100k</t>
  </si>
  <si>
    <t>R_0603_1608Metric</t>
  </si>
  <si>
    <t>R5,R2,R6,R4</t>
  </si>
  <si>
    <t>47k</t>
  </si>
  <si>
    <t>R7</t>
  </si>
  <si>
    <t>1k</t>
  </si>
  <si>
    <t>C3,C1,C2</t>
  </si>
  <si>
    <t>100pF</t>
  </si>
  <si>
    <t>C_0603_1608Metric</t>
  </si>
  <si>
    <t>C5,C8</t>
  </si>
  <si>
    <t>10uF</t>
  </si>
  <si>
    <t>C4,C12,C7,C6</t>
  </si>
  <si>
    <t>0.1uF</t>
  </si>
  <si>
    <t>C11,C9,C10</t>
  </si>
  <si>
    <t>4.7pF</t>
  </si>
  <si>
    <t>PCB安装螺丝</t>
  </si>
  <si>
    <t>2mm</t>
  </si>
  <si>
    <t>其他电阻电容</t>
  </si>
  <si>
    <t>若干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</si>
</sst>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D26" sqref="D26"/>
    </sheetView>
  </sheetViews>
  <sheetFormatPr defaultColWidth="9.14285714285714" defaultRowHeight="15" outlineLevelCol="5"/>
  <cols>
    <col min="1" max="1" width="3.57142857142857" customWidth="1"/>
    <col min="2" max="2" width="14.8571428571429" customWidth="1"/>
    <col min="3" max="3" width="25" customWidth="1"/>
    <col min="4" max="4" width="57.8571428571429" customWidth="1"/>
    <col min="5" max="5" width="14.8571428571429" hidden="1" customWidth="1"/>
    <col min="7" max="7" width="9.28571428571429" customWidth="1"/>
    <col min="8" max="8" width="20.1428571428571" customWidth="1"/>
    <col min="9" max="9" width="16.428571428571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>
      <c r="A2">
        <v>1</v>
      </c>
      <c r="B2" t="s">
        <v>5</v>
      </c>
      <c r="C2" t="s">
        <v>6</v>
      </c>
      <c r="D2" t="s">
        <v>7</v>
      </c>
      <c r="E2">
        <v>1</v>
      </c>
      <c r="F2">
        <f>E2*6</f>
        <v>6</v>
      </c>
    </row>
    <row r="3" spans="1:6">
      <c r="A3">
        <v>2</v>
      </c>
      <c r="B3" t="s">
        <v>8</v>
      </c>
      <c r="C3" t="s">
        <v>9</v>
      </c>
      <c r="D3" t="s">
        <v>10</v>
      </c>
      <c r="E3">
        <v>1</v>
      </c>
      <c r="F3">
        <f t="shared" ref="F3:F9" si="0">E3*6</f>
        <v>6</v>
      </c>
    </row>
    <row r="4" spans="1:6">
      <c r="A4">
        <v>3</v>
      </c>
      <c r="B4" t="s">
        <v>11</v>
      </c>
      <c r="C4" t="s">
        <v>12</v>
      </c>
      <c r="D4" t="s">
        <v>13</v>
      </c>
      <c r="E4">
        <v>3</v>
      </c>
      <c r="F4">
        <f t="shared" si="0"/>
        <v>18</v>
      </c>
    </row>
    <row r="5" spans="1:6">
      <c r="A5">
        <v>4</v>
      </c>
      <c r="B5" t="s">
        <v>14</v>
      </c>
      <c r="C5" t="s">
        <v>15</v>
      </c>
      <c r="D5" t="s">
        <v>16</v>
      </c>
      <c r="E5">
        <v>3</v>
      </c>
      <c r="F5">
        <f t="shared" si="0"/>
        <v>18</v>
      </c>
    </row>
    <row r="6" spans="1:6">
      <c r="A6">
        <v>5</v>
      </c>
      <c r="B6" t="s">
        <v>17</v>
      </c>
      <c r="C6" t="s">
        <v>18</v>
      </c>
      <c r="D6" t="s">
        <v>19</v>
      </c>
      <c r="E6">
        <v>1</v>
      </c>
      <c r="F6">
        <f t="shared" si="0"/>
        <v>6</v>
      </c>
    </row>
    <row r="7" spans="1:6">
      <c r="A7">
        <v>6</v>
      </c>
      <c r="B7" t="s">
        <v>20</v>
      </c>
      <c r="C7" t="s">
        <v>21</v>
      </c>
      <c r="D7" t="s">
        <v>22</v>
      </c>
      <c r="E7">
        <v>2</v>
      </c>
      <c r="F7">
        <f t="shared" si="0"/>
        <v>12</v>
      </c>
    </row>
    <row r="8" ht="16" customHeight="1" spans="1:6">
      <c r="A8">
        <v>7</v>
      </c>
      <c r="B8" t="s">
        <v>23</v>
      </c>
      <c r="C8" t="s">
        <v>24</v>
      </c>
      <c r="D8" t="s">
        <v>22</v>
      </c>
      <c r="E8">
        <v>2</v>
      </c>
      <c r="F8">
        <f t="shared" si="0"/>
        <v>12</v>
      </c>
    </row>
    <row r="9" spans="1:6">
      <c r="A9">
        <v>8</v>
      </c>
      <c r="B9" t="s">
        <v>25</v>
      </c>
      <c r="C9" t="s">
        <v>26</v>
      </c>
      <c r="D9" t="s">
        <v>27</v>
      </c>
      <c r="E9">
        <v>2</v>
      </c>
      <c r="F9">
        <f t="shared" si="0"/>
        <v>12</v>
      </c>
    </row>
    <row r="10" spans="1:6">
      <c r="A10">
        <v>9</v>
      </c>
      <c r="B10" t="s">
        <v>28</v>
      </c>
      <c r="C10" t="s">
        <v>29</v>
      </c>
      <c r="D10" t="s">
        <v>30</v>
      </c>
      <c r="E10">
        <v>2</v>
      </c>
      <c r="F10">
        <f>E10*20</f>
        <v>40</v>
      </c>
    </row>
    <row r="11" spans="1:6">
      <c r="A11">
        <v>10</v>
      </c>
      <c r="B11" t="s">
        <v>31</v>
      </c>
      <c r="C11" t="s">
        <v>32</v>
      </c>
      <c r="D11" t="s">
        <v>30</v>
      </c>
      <c r="E11">
        <v>4</v>
      </c>
      <c r="F11">
        <f t="shared" ref="F11:F16" si="1">E11*20</f>
        <v>80</v>
      </c>
    </row>
    <row r="12" spans="1:6">
      <c r="A12">
        <v>11</v>
      </c>
      <c r="B12" t="s">
        <v>33</v>
      </c>
      <c r="C12" t="s">
        <v>34</v>
      </c>
      <c r="D12" t="s">
        <v>30</v>
      </c>
      <c r="E12">
        <v>1</v>
      </c>
      <c r="F12">
        <f t="shared" si="1"/>
        <v>20</v>
      </c>
    </row>
    <row r="13" spans="1:6">
      <c r="A13">
        <v>12</v>
      </c>
      <c r="B13" t="s">
        <v>35</v>
      </c>
      <c r="C13" t="s">
        <v>36</v>
      </c>
      <c r="D13" t="s">
        <v>37</v>
      </c>
      <c r="E13">
        <v>3</v>
      </c>
      <c r="F13">
        <f t="shared" si="1"/>
        <v>60</v>
      </c>
    </row>
    <row r="14" spans="1:6">
      <c r="A14">
        <v>13</v>
      </c>
      <c r="B14" t="s">
        <v>38</v>
      </c>
      <c r="C14" t="s">
        <v>39</v>
      </c>
      <c r="D14" t="s">
        <v>37</v>
      </c>
      <c r="E14">
        <v>2</v>
      </c>
      <c r="F14">
        <f t="shared" si="1"/>
        <v>40</v>
      </c>
    </row>
    <row r="15" spans="1:6">
      <c r="A15">
        <v>14</v>
      </c>
      <c r="B15" t="s">
        <v>40</v>
      </c>
      <c r="C15" t="s">
        <v>41</v>
      </c>
      <c r="D15" t="s">
        <v>37</v>
      </c>
      <c r="E15">
        <v>4</v>
      </c>
      <c r="F15">
        <f t="shared" si="1"/>
        <v>80</v>
      </c>
    </row>
    <row r="16" spans="1:6">
      <c r="A16">
        <v>15</v>
      </c>
      <c r="B16" t="s">
        <v>42</v>
      </c>
      <c r="C16" t="s">
        <v>43</v>
      </c>
      <c r="D16" t="s">
        <v>37</v>
      </c>
      <c r="E16">
        <v>3</v>
      </c>
      <c r="F16">
        <f t="shared" si="1"/>
        <v>60</v>
      </c>
    </row>
    <row r="17" spans="1:6">
      <c r="A17">
        <v>16</v>
      </c>
      <c r="B17" t="s">
        <v>44</v>
      </c>
      <c r="D17" t="s">
        <v>45</v>
      </c>
      <c r="E17">
        <v>10</v>
      </c>
      <c r="F17">
        <f>E17*5</f>
        <v>50</v>
      </c>
    </row>
    <row r="18" spans="1:6">
      <c r="A18">
        <v>17</v>
      </c>
      <c r="B18" t="s">
        <v>46</v>
      </c>
      <c r="D18" t="s">
        <v>37</v>
      </c>
      <c r="F18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kyaoo</dc:creator>
  <cp:lastModifiedBy>kyaoo</cp:lastModifiedBy>
  <dcterms:created xsi:type="dcterms:W3CDTF">2026-01-06T19:25:57Z</dcterms:created>
  <dcterms:modified xsi:type="dcterms:W3CDTF">2026-01-06T23:39:37Z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75B00799DC6F4E5EABFFD4FC45AB6042_11</vt:lpwstr>
  </property>
  <property fmtid="{D5CDD505-2E9C-101B-9397-08002B2CF9AE}" pid="3" name="KSOProductBuildVer">
    <vt:lpwstr>1033-12.2.0.23149</vt:lpwstr>
  </property>
</Properties>
</file>